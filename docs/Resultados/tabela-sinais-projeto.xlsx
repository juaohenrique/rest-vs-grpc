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</sheets>
  <definedNames/>
  <calcPr/>
</workbook>
</file>

<file path=xl/sharedStrings.xml><?xml version="1.0" encoding="utf-8"?>
<sst xmlns="http://schemas.openxmlformats.org/spreadsheetml/2006/main" count="38" uniqueCount="32">
  <si>
    <t>Exec</t>
  </si>
  <si>
    <t>Usuarios</t>
  </si>
  <si>
    <t>Banco</t>
  </si>
  <si>
    <t>Memoria</t>
  </si>
  <si>
    <t>A</t>
  </si>
  <si>
    <t>B</t>
  </si>
  <si>
    <t>C</t>
  </si>
  <si>
    <t>AB</t>
  </si>
  <si>
    <t>AC</t>
  </si>
  <si>
    <t>BC</t>
  </si>
  <si>
    <t>ABC</t>
  </si>
  <si>
    <t>p95_ms</t>
  </si>
  <si>
    <t>req_s</t>
  </si>
  <si>
    <t>erro_%</t>
  </si>
  <si>
    <t>mem_mb</t>
  </si>
  <si>
    <t>cpu_%</t>
  </si>
  <si>
    <t>MySQL</t>
  </si>
  <si>
    <t>PostgreSQL</t>
  </si>
  <si>
    <t>efeito do fator *</t>
  </si>
  <si>
    <t>média global</t>
  </si>
  <si>
    <t>médias por nível -1</t>
  </si>
  <si>
    <t>médias por nível +1</t>
  </si>
  <si>
    <t>SSx</t>
  </si>
  <si>
    <t>SST</t>
  </si>
  <si>
    <t>SSx/SST **</t>
  </si>
  <si>
    <t>100*SSx/SST</t>
  </si>
  <si>
    <t>k = 3</t>
  </si>
  <si>
    <t>(*) [média|+1 - média|-1]</t>
  </si>
  <si>
    <t>ou [contraste / 2^(k-1)]</t>
  </si>
  <si>
    <t>(**) influência relativa do fator no resultado</t>
  </si>
  <si>
    <t>SSx = soma dos quadrados do fator</t>
  </si>
  <si>
    <t>SST = soma dos quadrados totais (ou DESVQ)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</si>
</sst>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0;-0;0"/>
    <numFmt numFmtId="165" formatCode="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A86E8"/>
      <name val="Arial"/>
      <scheme val="minor"/>
    </font>
    <font>
      <color rgb="FF999999"/>
      <name val="Arial"/>
      <scheme val="minor"/>
    </font>
    <font>
      <b/>
      <color theme="1"/>
      <name val="Arial"/>
      <scheme val="minor"/>
    </font>
    <font>
      <color rgb="FFFF9900"/>
      <name val="Arial"/>
      <scheme val="minor"/>
    </font>
    <font>
      <color rgb="FF666666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2" fillId="0" fontId="1" numFmtId="0" xfId="0" applyAlignment="1" applyBorder="1" applyFont="1">
      <alignment horizontal="left" readingOrder="0"/>
    </xf>
    <xf borderId="2" fillId="0" fontId="1" numFmtId="164" xfId="0" applyAlignment="1" applyBorder="1" applyFont="1" applyNumberFormat="1">
      <alignment horizontal="left" readingOrder="0"/>
    </xf>
    <xf borderId="3" fillId="0" fontId="1" numFmtId="164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2" xfId="0" applyFont="1" applyNumberFormat="1"/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2" fillId="0" fontId="3" numFmtId="0" xfId="0" applyAlignment="1" applyBorder="1" applyFont="1">
      <alignment readingOrder="0"/>
    </xf>
    <xf borderId="2" fillId="0" fontId="3" numFmtId="2" xfId="0" applyBorder="1" applyFont="1" applyNumberFormat="1"/>
    <xf borderId="0" fillId="0" fontId="1" numFmtId="0" xfId="0" applyFont="1"/>
    <xf borderId="0" fillId="0" fontId="5" numFmtId="165" xfId="0" applyFont="1" applyNumberFormat="1"/>
    <xf borderId="0" fillId="0" fontId="1" numFmtId="165" xfId="0" applyFont="1" applyNumberFormat="1"/>
    <xf borderId="0" fillId="0" fontId="5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14.38"/>
    <col customWidth="1" min="4" max="4" width="16.13"/>
    <col customWidth="1" min="5" max="5" width="8.0"/>
    <col customWidth="1" min="6" max="6" width="6.75"/>
    <col customWidth="1" min="7" max="7" width="8.13"/>
    <col customWidth="1" min="8" max="8" width="8.5"/>
    <col customWidth="1" min="9" max="9" width="8.38"/>
    <col customWidth="1" min="10" max="10" width="8.13"/>
    <col customWidth="1" min="11" max="11" width="7.5"/>
    <col customWidth="1" min="12" max="12" width="9.75"/>
    <col customWidth="1" min="13" max="13" width="10.38"/>
    <col customWidth="1" min="14" max="14" width="9.75"/>
    <col customWidth="1" min="15" max="15" width="10.25"/>
    <col customWidth="1" min="16" max="16" width="10.13"/>
    <col customWidth="1" min="17" max="17" width="11.63"/>
    <col customWidth="1" min="18" max="18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>
      <c r="A2" s="5">
        <v>1.0</v>
      </c>
      <c r="B2" s="5">
        <v>50.0</v>
      </c>
      <c r="C2" s="5" t="s">
        <v>16</v>
      </c>
      <c r="D2" s="5">
        <v>512.0</v>
      </c>
      <c r="E2" s="6">
        <v>-1.0</v>
      </c>
      <c r="F2" s="6">
        <v>-1.0</v>
      </c>
      <c r="G2" s="6">
        <v>-1.0</v>
      </c>
      <c r="H2" s="6">
        <v>1.0</v>
      </c>
      <c r="I2" s="6">
        <v>1.0</v>
      </c>
      <c r="J2" s="6">
        <v>1.0</v>
      </c>
      <c r="K2" s="7">
        <v>-1.0</v>
      </c>
      <c r="L2" s="3">
        <v>110.0</v>
      </c>
      <c r="M2" s="8"/>
      <c r="N2" s="8"/>
      <c r="O2" s="8"/>
      <c r="P2" s="8"/>
    </row>
    <row r="3">
      <c r="A3" s="5">
        <v>2.0</v>
      </c>
      <c r="B3" s="5">
        <v>50.0</v>
      </c>
      <c r="C3" s="5" t="s">
        <v>16</v>
      </c>
      <c r="D3" s="5">
        <v>1024.0</v>
      </c>
      <c r="E3" s="6">
        <v>-1.0</v>
      </c>
      <c r="F3" s="6">
        <v>-1.0</v>
      </c>
      <c r="G3" s="6">
        <v>1.0</v>
      </c>
      <c r="H3" s="6">
        <v>1.0</v>
      </c>
      <c r="I3" s="6">
        <v>-1.0</v>
      </c>
      <c r="J3" s="6">
        <v>-1.0</v>
      </c>
      <c r="K3" s="7">
        <v>1.0</v>
      </c>
      <c r="L3" s="3">
        <v>100.0</v>
      </c>
      <c r="M3" s="8"/>
      <c r="N3" s="8"/>
      <c r="O3" s="8"/>
      <c r="P3" s="8"/>
    </row>
    <row r="4">
      <c r="A4" s="5">
        <v>3.0</v>
      </c>
      <c r="B4" s="5">
        <v>50.0</v>
      </c>
      <c r="C4" s="5" t="s">
        <v>17</v>
      </c>
      <c r="D4" s="5">
        <v>512.0</v>
      </c>
      <c r="E4" s="6">
        <v>-1.0</v>
      </c>
      <c r="F4" s="6">
        <v>1.0</v>
      </c>
      <c r="G4" s="6">
        <v>-1.0</v>
      </c>
      <c r="H4" s="6">
        <v>-1.0</v>
      </c>
      <c r="I4" s="6">
        <v>1.0</v>
      </c>
      <c r="J4" s="6">
        <v>-1.0</v>
      </c>
      <c r="K4" s="7">
        <v>1.0</v>
      </c>
      <c r="L4" s="3">
        <v>100.0</v>
      </c>
      <c r="M4" s="8"/>
      <c r="N4" s="8"/>
      <c r="O4" s="8"/>
      <c r="P4" s="8"/>
    </row>
    <row r="5">
      <c r="A5" s="5">
        <v>4.0</v>
      </c>
      <c r="B5" s="5">
        <v>50.0</v>
      </c>
      <c r="C5" s="5" t="s">
        <v>17</v>
      </c>
      <c r="D5" s="5">
        <v>1024.0</v>
      </c>
      <c r="E5" s="6">
        <v>-1.0</v>
      </c>
      <c r="F5" s="6">
        <v>1.0</v>
      </c>
      <c r="G5" s="6">
        <v>1.0</v>
      </c>
      <c r="H5" s="6">
        <v>-1.0</v>
      </c>
      <c r="I5" s="6">
        <v>-1.0</v>
      </c>
      <c r="J5" s="6">
        <v>1.0</v>
      </c>
      <c r="K5" s="7">
        <v>-1.0</v>
      </c>
      <c r="L5" s="3">
        <v>92.0</v>
      </c>
      <c r="M5" s="8"/>
      <c r="N5" s="8"/>
      <c r="O5" s="8"/>
      <c r="P5" s="8"/>
    </row>
    <row r="6">
      <c r="A6" s="5">
        <v>5.0</v>
      </c>
      <c r="B6" s="5">
        <v>100.0</v>
      </c>
      <c r="C6" s="5" t="s">
        <v>16</v>
      </c>
      <c r="D6" s="5">
        <v>512.0</v>
      </c>
      <c r="E6" s="6">
        <v>1.0</v>
      </c>
      <c r="F6" s="6">
        <v>-1.0</v>
      </c>
      <c r="G6" s="6">
        <v>-1.0</v>
      </c>
      <c r="H6" s="6">
        <v>-1.0</v>
      </c>
      <c r="I6" s="6">
        <v>-1.0</v>
      </c>
      <c r="J6" s="6">
        <v>1.0</v>
      </c>
      <c r="K6" s="7">
        <v>1.0</v>
      </c>
      <c r="L6" s="3">
        <v>170.0</v>
      </c>
      <c r="M6" s="8"/>
      <c r="N6" s="8"/>
      <c r="O6" s="8"/>
      <c r="P6" s="8"/>
    </row>
    <row r="7">
      <c r="A7" s="5">
        <v>6.0</v>
      </c>
      <c r="B7" s="5">
        <v>100.0</v>
      </c>
      <c r="C7" s="5" t="s">
        <v>16</v>
      </c>
      <c r="D7" s="5">
        <v>1024.0</v>
      </c>
      <c r="E7" s="6">
        <v>1.0</v>
      </c>
      <c r="F7" s="6">
        <v>-1.0</v>
      </c>
      <c r="G7" s="6">
        <v>1.0</v>
      </c>
      <c r="H7" s="6">
        <v>-1.0</v>
      </c>
      <c r="I7" s="6">
        <v>1.0</v>
      </c>
      <c r="J7" s="6">
        <v>-1.0</v>
      </c>
      <c r="K7" s="7">
        <v>-1.0</v>
      </c>
      <c r="L7" s="3">
        <v>150.0</v>
      </c>
      <c r="M7" s="8"/>
      <c r="N7" s="8"/>
      <c r="O7" s="8"/>
      <c r="P7" s="8"/>
    </row>
    <row r="8">
      <c r="A8" s="5">
        <v>7.0</v>
      </c>
      <c r="B8" s="5">
        <v>100.0</v>
      </c>
      <c r="C8" s="5" t="s">
        <v>17</v>
      </c>
      <c r="D8" s="5">
        <v>512.0</v>
      </c>
      <c r="E8" s="6">
        <v>1.0</v>
      </c>
      <c r="F8" s="6">
        <v>1.0</v>
      </c>
      <c r="G8" s="6">
        <v>-1.0</v>
      </c>
      <c r="H8" s="6">
        <v>1.0</v>
      </c>
      <c r="I8" s="6">
        <v>-1.0</v>
      </c>
      <c r="J8" s="6">
        <v>-1.0</v>
      </c>
      <c r="K8" s="7">
        <v>-1.0</v>
      </c>
      <c r="L8" s="3">
        <v>150.0</v>
      </c>
      <c r="M8" s="8"/>
      <c r="N8" s="8"/>
      <c r="O8" s="8"/>
      <c r="P8" s="8"/>
    </row>
    <row r="9">
      <c r="A9" s="9">
        <v>8.0</v>
      </c>
      <c r="B9" s="9">
        <v>100.0</v>
      </c>
      <c r="C9" s="9" t="s">
        <v>17</v>
      </c>
      <c r="D9" s="9">
        <v>1024.0</v>
      </c>
      <c r="E9" s="10">
        <v>1.0</v>
      </c>
      <c r="F9" s="10">
        <v>1.0</v>
      </c>
      <c r="G9" s="10">
        <v>1.0</v>
      </c>
      <c r="H9" s="10">
        <v>1.0</v>
      </c>
      <c r="I9" s="10">
        <v>1.0</v>
      </c>
      <c r="J9" s="10">
        <v>1.0</v>
      </c>
      <c r="K9" s="11">
        <v>1.0</v>
      </c>
      <c r="L9" s="12">
        <v>130.0</v>
      </c>
      <c r="M9" s="8"/>
      <c r="N9" s="8"/>
      <c r="O9" s="8"/>
      <c r="P9" s="8"/>
    </row>
    <row r="10">
      <c r="D10" s="13" t="s">
        <v>18</v>
      </c>
      <c r="E10" s="14">
        <f>SUMPRODUCT(E2:E9,L2:L9)/4</f>
        <v>49.5</v>
      </c>
      <c r="F10" s="14">
        <f>SUMPRODUCT(F2:F9,L2:L9)/4</f>
        <v>-14.5</v>
      </c>
      <c r="G10" s="14">
        <f>SUMPRODUCT(G2:G9,L2:L9)/4</f>
        <v>-14.5</v>
      </c>
      <c r="H10" s="14">
        <f>SUMPRODUCT(H2:H9,L2:L9)/4</f>
        <v>-5.5</v>
      </c>
      <c r="I10" s="14">
        <f>SUMPRODUCT(I2:I9,L2:L9)/4</f>
        <v>-5.5</v>
      </c>
      <c r="J10" s="14">
        <f>SUMPRODUCT(J2:J9,L2:L9)/4</f>
        <v>0.5</v>
      </c>
      <c r="K10" s="14">
        <f>SUMPRODUCT(K2:K9,L2:L9)/4</f>
        <v>-0.5</v>
      </c>
      <c r="L10" s="15">
        <f>SUM(L2:L9)/8</f>
        <v>125.25</v>
      </c>
      <c r="M10" s="1" t="s">
        <v>19</v>
      </c>
    </row>
    <row r="11">
      <c r="D11" s="16" t="s">
        <v>20</v>
      </c>
      <c r="E11" s="17">
        <f>AVERAGEIF(E2:E9,-1,L2:L9)</f>
        <v>100.5</v>
      </c>
      <c r="F11" s="17">
        <f>AVERAGEIF(F2:F9,-1,L2:L9)</f>
        <v>132.5</v>
      </c>
      <c r="G11" s="17">
        <f>AVERAGEIF(G2:G9,-1,L2:L9)</f>
        <v>132.5</v>
      </c>
      <c r="H11" s="17">
        <f>AVERAGEIF(H2:H9,-1,L2:L9)</f>
        <v>128</v>
      </c>
      <c r="I11" s="17">
        <f>AVERAGEIF(I2:I9,-1,L2:L9)</f>
        <v>128</v>
      </c>
      <c r="J11" s="17">
        <f>AVERAGEIF(J2:J9,-1,L2:L9)</f>
        <v>125</v>
      </c>
      <c r="K11" s="17">
        <f>AVERAGEIF(K2:K9,-1,L2:L9)</f>
        <v>125.5</v>
      </c>
    </row>
    <row r="12">
      <c r="D12" s="18" t="s">
        <v>21</v>
      </c>
      <c r="E12" s="19">
        <f>AVERAGEIF(E2:E9,1,L2:L9)</f>
        <v>150</v>
      </c>
      <c r="F12" s="19">
        <f>AVERAGEIF(F2:F9,1,L2:L9)</f>
        <v>118</v>
      </c>
      <c r="G12" s="19">
        <f>AVERAGEIF(G2:G9,1,L2:L9)</f>
        <v>118</v>
      </c>
      <c r="H12" s="19">
        <f>AVERAGEIF(H2:H9,1,L2:L9)</f>
        <v>122.5</v>
      </c>
      <c r="I12" s="19">
        <f>AVERAGEIF(I2:I9,1,L2:L9)</f>
        <v>122.5</v>
      </c>
      <c r="J12" s="19">
        <f>AVERAGEIF(J2:J9,1,L2:L9)</f>
        <v>125.5</v>
      </c>
      <c r="K12" s="19">
        <f>AVERAGEIF(K2:K9,1,L2:L9)</f>
        <v>125</v>
      </c>
      <c r="L12" s="14"/>
    </row>
    <row r="13">
      <c r="D13" s="1" t="s">
        <v>22</v>
      </c>
      <c r="E13" s="14">
        <f>(POWER(SUMPRODUCT(E2:E9,L2:L9),2))/8</f>
        <v>4900.5</v>
      </c>
      <c r="F13" s="14">
        <f>(POWER(SUMPRODUCT(F2:F9,L2:L9),2))/8</f>
        <v>420.5</v>
      </c>
      <c r="G13" s="14">
        <f>(POWER(SUMPRODUCT(G2:G9,L2:L9),2))/8</f>
        <v>420.5</v>
      </c>
      <c r="H13" s="14">
        <f>(POWER(SUMPRODUCT(H2:H9,L2:L9),2))/8</f>
        <v>60.5</v>
      </c>
      <c r="I13" s="14">
        <f>(POWER(SUMPRODUCT(I2:I9,L2:L9),2))/8</f>
        <v>60.5</v>
      </c>
      <c r="J13" s="14">
        <f>(POWER(SUMPRODUCT(J2:J9,L2:L9),2))/8</f>
        <v>0.5</v>
      </c>
      <c r="K13" s="14">
        <f>(POWER(SUMPRODUCT(K2:K9,L2:L9),2))/8</f>
        <v>0.5</v>
      </c>
      <c r="L13" s="14"/>
    </row>
    <row r="14">
      <c r="D14" s="1" t="s">
        <v>23</v>
      </c>
      <c r="E14" s="20">
        <f t="array" ref="E14">SUM((L2:L9 - AVERAGE(L2:L9))^2)  </f>
        <v>5863.5</v>
      </c>
      <c r="F14" s="20">
        <v>5863.5</v>
      </c>
      <c r="G14" s="20">
        <v>5863.5</v>
      </c>
      <c r="H14" s="20">
        <v>5863.5</v>
      </c>
      <c r="I14" s="20">
        <v>5863.5</v>
      </c>
      <c r="J14" s="20">
        <v>5863.5</v>
      </c>
      <c r="K14" s="20">
        <v>5863.5</v>
      </c>
    </row>
    <row r="15">
      <c r="D15" s="13" t="s">
        <v>24</v>
      </c>
      <c r="E15" s="21">
        <f t="shared" ref="E15:K15" si="1">E13/E14</f>
        <v>0.8357636224</v>
      </c>
      <c r="F15" s="22">
        <f t="shared" si="1"/>
        <v>0.07171484608</v>
      </c>
      <c r="G15" s="22">
        <f t="shared" si="1"/>
        <v>0.07171484608</v>
      </c>
      <c r="H15" s="22">
        <f t="shared" si="1"/>
        <v>0.01031806941</v>
      </c>
      <c r="I15" s="22">
        <f t="shared" si="1"/>
        <v>0.01031806941</v>
      </c>
      <c r="J15" s="22">
        <f t="shared" si="1"/>
        <v>0.00008527330093</v>
      </c>
      <c r="K15" s="22">
        <f t="shared" si="1"/>
        <v>0.00008527330093</v>
      </c>
    </row>
    <row r="16">
      <c r="D16" s="13" t="s">
        <v>25</v>
      </c>
      <c r="E16" s="23">
        <f t="shared" ref="E16:K16" si="2">E15</f>
        <v>0.8357636224</v>
      </c>
      <c r="F16" s="24">
        <f t="shared" si="2"/>
        <v>0.07171484608</v>
      </c>
      <c r="G16" s="24">
        <f t="shared" si="2"/>
        <v>0.07171484608</v>
      </c>
      <c r="H16" s="24">
        <f t="shared" si="2"/>
        <v>0.01031806941</v>
      </c>
      <c r="I16" s="24">
        <f t="shared" si="2"/>
        <v>0.01031806941</v>
      </c>
      <c r="J16" s="24">
        <f t="shared" si="2"/>
        <v>0.00008527330093</v>
      </c>
      <c r="K16" s="24">
        <f t="shared" si="2"/>
        <v>0.00008527330093</v>
      </c>
    </row>
    <row r="18">
      <c r="E18" s="25">
        <f>DEVSQ(L2:L9)</f>
        <v>5863.5</v>
      </c>
    </row>
    <row r="19">
      <c r="A19" s="26" t="s">
        <v>26</v>
      </c>
      <c r="B19" s="27"/>
      <c r="C19" s="27"/>
      <c r="D19" s="27"/>
    </row>
    <row r="20">
      <c r="A20" s="26" t="s">
        <v>27</v>
      </c>
      <c r="B20" s="27"/>
      <c r="C20" s="26" t="s">
        <v>28</v>
      </c>
      <c r="D20" s="27"/>
    </row>
    <row r="21">
      <c r="A21" s="26" t="s">
        <v>29</v>
      </c>
      <c r="B21" s="27"/>
      <c r="C21" s="27"/>
      <c r="D21" s="27"/>
    </row>
    <row r="22">
      <c r="A22" s="26"/>
      <c r="B22" s="27"/>
      <c r="C22" s="27"/>
      <c r="D22" s="27"/>
    </row>
    <row r="23">
      <c r="A23" s="26" t="s">
        <v>30</v>
      </c>
      <c r="B23" s="27"/>
      <c r="C23" s="27"/>
      <c r="D23" s="27"/>
    </row>
    <row r="24">
      <c r="A24" s="26" t="s">
        <v>31</v>
      </c>
      <c r="B24" s="27"/>
      <c r="C24" s="27"/>
      <c r="D24" s="27"/>
    </row>
  </sheetData>
  <drawing r:id="rId1"/>
</worksheet>
</file>