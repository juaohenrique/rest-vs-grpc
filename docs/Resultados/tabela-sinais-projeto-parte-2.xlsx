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riz" sheetId="1" state="visible" r:id="rId3"/>
    <sheet name="matriz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<sst xmlns="http://schemas.openxmlformats.org/spreadsheetml/2006/main" count="116" uniqueCount="35">
  <si>
    <t xml:space="preserve">#</t>
  </si>
  <si>
    <t xml:space="preserve">Usuários</t>
  </si>
  <si>
    <t xml:space="preserve">Padrão</t>
  </si>
  <si>
    <t xml:space="preserve">Requisição</t>
  </si>
  <si>
    <t xml:space="preserve">A</t>
  </si>
  <si>
    <t xml:space="preserve">B</t>
  </si>
  <si>
    <t xml:space="preserve">C</t>
  </si>
  <si>
    <t xml:space="preserve">AB</t>
  </si>
  <si>
    <t xml:space="preserve">AC</t>
  </si>
  <si>
    <t xml:space="preserve">BC</t>
  </si>
  <si>
    <t xml:space="preserve">ABC</t>
  </si>
  <si>
    <t xml:space="preserve">p95_ms</t>
  </si>
  <si>
    <t xml:space="preserve">req_s</t>
  </si>
  <si>
    <t xml:space="preserve">erro_%</t>
  </si>
  <si>
    <t xml:space="preserve">mem_mb</t>
  </si>
  <si>
    <t xml:space="preserve">cpu_%</t>
  </si>
  <si>
    <t xml:space="preserve">gRPC</t>
  </si>
  <si>
    <t xml:space="preserve">Local</t>
  </si>
  <si>
    <t xml:space="preserve">Remota</t>
  </si>
  <si>
    <t xml:space="preserve">REST</t>
  </si>
  <si>
    <t xml:space="preserve">efeito do fator *</t>
  </si>
  <si>
    <t xml:space="preserve">média global</t>
  </si>
  <si>
    <t xml:space="preserve">médias por nível -1</t>
  </si>
  <si>
    <t xml:space="preserve">médias por nível +1</t>
  </si>
  <si>
    <t xml:space="preserve">SSx</t>
  </si>
  <si>
    <t xml:space="preserve">SST</t>
  </si>
  <si>
    <t xml:space="preserve">SSx/SST **</t>
  </si>
  <si>
    <t xml:space="preserve">100*SSx/SST</t>
  </si>
  <si>
    <t xml:space="preserve">k = 3</t>
  </si>
  <si>
    <t xml:space="preserve">(*) [média|+1 - média|-1]</t>
  </si>
  <si>
    <t xml:space="preserve">ou [contraste / 2^(k-1)]</t>
  </si>
  <si>
    <t xml:space="preserve">(**) influência relativa do fator no resultado</t>
  </si>
  <si>
    <t xml:space="preserve">SSx = soma dos quadrados do fator</t>
  </si>
  <si>
    <t xml:space="preserve">SST = soma dos quadrados totais (ou DESVQ)</t>
  </si>
  <si>
    <t xml:space="preserve">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</si>
</sst>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0;\-0;0"/>
    <numFmt numFmtId="166" formatCode="0.00%"/>
    <numFmt numFmtId="167" formatCode="0.00"/>
    <numFmt numFmtId="168" formatCode="General"/>
    <numFmt numFmtId="169" formatCode="0.0000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4A86E8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FF9900"/>
      <name val="Arial"/>
      <family val="0"/>
      <charset val="1"/>
    </font>
    <font>
      <sz val="11"/>
      <color rgb="FF666666"/>
      <name val="Arial"/>
      <family val="0"/>
      <charset val="1"/>
    </font>
    <font>
      <sz val="8"/>
      <color theme="1"/>
      <name val="Arial"/>
      <family val="0"/>
      <charset val="1"/>
    </font>
    <font>
      <sz val="8"/>
      <color rgb="FF4A86E8"/>
      <name val="Arial"/>
      <family val="0"/>
      <charset val="1"/>
    </font>
    <font>
      <sz val="8"/>
      <color rgb="FF999999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theme="1"/>
      <name val="Arial"/>
      <family val="0"/>
      <charset val="1"/>
    </font>
    <font>
      <sz val="8"/>
      <color rgb="FFFF99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40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0.01"/>
    <col collapsed="false" customWidth="true" hidden="false" outlineLevel="0" max="3" min="3" style="0" width="14.38"/>
    <col collapsed="false" customWidth="true" hidden="false" outlineLevel="0" max="4" min="4" style="0" width="20.58"/>
    <col collapsed="false" customWidth="true" hidden="false" outlineLevel="0" max="5" min="5" style="0" width="8"/>
    <col collapsed="false" customWidth="true" hidden="false" outlineLevel="0" max="6" min="6" style="0" width="6.75"/>
    <col collapsed="false" customWidth="true" hidden="false" outlineLevel="0" max="7" min="7" style="0" width="8.13"/>
    <col collapsed="false" customWidth="true" hidden="false" outlineLevel="0" max="8" min="8" style="0" width="8.5"/>
    <col collapsed="false" customWidth="true" hidden="false" outlineLevel="0" max="9" min="9" style="0" width="8.38"/>
    <col collapsed="false" customWidth="true" hidden="false" outlineLevel="0" max="10" min="10" style="0" width="8.13"/>
    <col collapsed="false" customWidth="true" hidden="false" outlineLevel="0" max="11" min="11" style="0" width="7.5"/>
    <col collapsed="false" customWidth="true" hidden="false" outlineLevel="0" max="12" min="12" style="0" width="11.12"/>
    <col collapsed="false" customWidth="true" hidden="false" outlineLevel="0" max="13" min="13" style="0" width="10.38"/>
    <col collapsed="false" customWidth="true" hidden="false" outlineLevel="0" max="14" min="14" style="0" width="9.75"/>
    <col collapsed="false" customWidth="true" hidden="false" outlineLevel="0" max="15" min="15" style="0" width="10.25"/>
    <col collapsed="false" customWidth="true" hidden="false" outlineLevel="0" max="16" min="16" style="0" width="10.13"/>
    <col collapsed="false" customWidth="true" hidden="false" outlineLevel="0" max="17" min="17" style="0" width="11.63"/>
    <col collapsed="false" customWidth="true" hidden="false" outlineLevel="0" max="18" min="18" style="0" width="11.8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Format="false" ht="15.75" hidden="false" customHeight="false" outlineLevel="0" collapsed="false">
      <c r="A2" s="1" t="n">
        <v>1</v>
      </c>
      <c r="B2" s="1" t="n">
        <v>50</v>
      </c>
      <c r="C2" s="1" t="s">
        <v>16</v>
      </c>
      <c r="D2" s="1" t="s">
        <v>17</v>
      </c>
      <c r="E2" s="5" t="n">
        <v>-1</v>
      </c>
      <c r="F2" s="5" t="n">
        <v>-1</v>
      </c>
      <c r="G2" s="5" t="n">
        <v>-1</v>
      </c>
      <c r="H2" s="5" t="n">
        <v>1</v>
      </c>
      <c r="I2" s="5" t="n">
        <v>1</v>
      </c>
      <c r="J2" s="5" t="n">
        <v>1</v>
      </c>
      <c r="K2" s="6" t="n">
        <v>-1</v>
      </c>
      <c r="L2" s="7" t="n">
        <v>50.87</v>
      </c>
      <c r="M2" s="1"/>
      <c r="N2" s="1"/>
      <c r="O2" s="1"/>
      <c r="P2" s="8" t="n">
        <v>0.9</v>
      </c>
    </row>
    <row r="3" customFormat="false" ht="15.75" hidden="false" customHeight="false" outlineLevel="0" collapsed="false">
      <c r="A3" s="1" t="n">
        <v>2</v>
      </c>
      <c r="B3" s="1" t="n">
        <v>50</v>
      </c>
      <c r="C3" s="1" t="s">
        <v>16</v>
      </c>
      <c r="D3" s="1" t="s">
        <v>18</v>
      </c>
      <c r="E3" s="5" t="n">
        <v>-1</v>
      </c>
      <c r="F3" s="5" t="n">
        <v>-1</v>
      </c>
      <c r="G3" s="5" t="n">
        <v>1</v>
      </c>
      <c r="H3" s="5" t="n">
        <v>1</v>
      </c>
      <c r="I3" s="5" t="n">
        <v>-1</v>
      </c>
      <c r="J3" s="5" t="n">
        <v>-1</v>
      </c>
      <c r="K3" s="6" t="n">
        <v>1</v>
      </c>
      <c r="L3" s="3" t="n">
        <v>0</v>
      </c>
      <c r="M3" s="1"/>
      <c r="N3" s="1"/>
      <c r="O3" s="1"/>
      <c r="P3" s="1"/>
    </row>
    <row r="4" customFormat="false" ht="15.75" hidden="false" customHeight="false" outlineLevel="0" collapsed="false">
      <c r="A4" s="1" t="n">
        <v>3</v>
      </c>
      <c r="B4" s="1" t="n">
        <v>50</v>
      </c>
      <c r="C4" s="1" t="s">
        <v>19</v>
      </c>
      <c r="D4" s="1" t="s">
        <v>17</v>
      </c>
      <c r="E4" s="5" t="n">
        <v>-1</v>
      </c>
      <c r="F4" s="5" t="n">
        <v>1</v>
      </c>
      <c r="G4" s="5" t="n">
        <v>-1</v>
      </c>
      <c r="H4" s="5" t="n">
        <v>-1</v>
      </c>
      <c r="I4" s="5" t="n">
        <v>1</v>
      </c>
      <c r="J4" s="5" t="n">
        <v>-1</v>
      </c>
      <c r="K4" s="6" t="n">
        <v>1</v>
      </c>
      <c r="L4" s="3" t="n">
        <v>28.55</v>
      </c>
      <c r="M4" s="1"/>
      <c r="N4" s="1"/>
      <c r="O4" s="1"/>
      <c r="P4" s="1"/>
    </row>
    <row r="5" customFormat="false" ht="15.75" hidden="false" customHeight="false" outlineLevel="0" collapsed="false">
      <c r="A5" s="1" t="n">
        <v>4</v>
      </c>
      <c r="B5" s="1" t="n">
        <v>50</v>
      </c>
      <c r="C5" s="1" t="s">
        <v>19</v>
      </c>
      <c r="D5" s="1" t="s">
        <v>18</v>
      </c>
      <c r="E5" s="5" t="n">
        <v>-1</v>
      </c>
      <c r="F5" s="5" t="n">
        <v>1</v>
      </c>
      <c r="G5" s="5" t="n">
        <v>1</v>
      </c>
      <c r="H5" s="5" t="n">
        <v>-1</v>
      </c>
      <c r="I5" s="5" t="n">
        <v>-1</v>
      </c>
      <c r="J5" s="5" t="n">
        <v>1</v>
      </c>
      <c r="K5" s="6" t="n">
        <v>-1</v>
      </c>
      <c r="L5" s="3" t="n">
        <v>0</v>
      </c>
      <c r="M5" s="1"/>
      <c r="N5" s="1"/>
      <c r="O5" s="1"/>
      <c r="P5" s="1"/>
    </row>
    <row r="6" customFormat="false" ht="15.75" hidden="false" customHeight="false" outlineLevel="0" collapsed="false">
      <c r="A6" s="1" t="n">
        <v>5</v>
      </c>
      <c r="B6" s="1" t="n">
        <v>100</v>
      </c>
      <c r="C6" s="1" t="s">
        <v>16</v>
      </c>
      <c r="D6" s="1" t="s">
        <v>17</v>
      </c>
      <c r="E6" s="5" t="n">
        <v>1</v>
      </c>
      <c r="F6" s="5" t="n">
        <v>-1</v>
      </c>
      <c r="G6" s="5" t="n">
        <v>-1</v>
      </c>
      <c r="H6" s="5" t="n">
        <v>-1</v>
      </c>
      <c r="I6" s="5" t="n">
        <v>-1</v>
      </c>
      <c r="J6" s="5" t="n">
        <v>1</v>
      </c>
      <c r="K6" s="6" t="n">
        <v>1</v>
      </c>
      <c r="L6" s="3" t="n">
        <v>44.56</v>
      </c>
      <c r="M6" s="1"/>
      <c r="N6" s="1"/>
      <c r="O6" s="1"/>
      <c r="P6" s="1"/>
    </row>
    <row r="7" customFormat="false" ht="15.75" hidden="false" customHeight="false" outlineLevel="0" collapsed="false">
      <c r="A7" s="1" t="n">
        <v>6</v>
      </c>
      <c r="B7" s="1" t="n">
        <v>100</v>
      </c>
      <c r="C7" s="1" t="s">
        <v>16</v>
      </c>
      <c r="D7" s="1" t="s">
        <v>18</v>
      </c>
      <c r="E7" s="5" t="n">
        <v>1</v>
      </c>
      <c r="F7" s="5" t="n">
        <v>-1</v>
      </c>
      <c r="G7" s="5" t="n">
        <v>1</v>
      </c>
      <c r="H7" s="5" t="n">
        <v>-1</v>
      </c>
      <c r="I7" s="5" t="n">
        <v>1</v>
      </c>
      <c r="J7" s="5" t="n">
        <v>-1</v>
      </c>
      <c r="K7" s="6" t="n">
        <v>-1</v>
      </c>
      <c r="L7" s="3" t="n">
        <v>0</v>
      </c>
      <c r="M7" s="1"/>
      <c r="N7" s="1"/>
      <c r="O7" s="1"/>
      <c r="P7" s="1"/>
    </row>
    <row r="8" customFormat="false" ht="15.75" hidden="false" customHeight="false" outlineLevel="0" collapsed="false">
      <c r="A8" s="1" t="n">
        <v>7</v>
      </c>
      <c r="B8" s="1" t="n">
        <v>100</v>
      </c>
      <c r="C8" s="1" t="s">
        <v>19</v>
      </c>
      <c r="D8" s="1" t="s">
        <v>17</v>
      </c>
      <c r="E8" s="5" t="n">
        <v>1</v>
      </c>
      <c r="F8" s="5" t="n">
        <v>1</v>
      </c>
      <c r="G8" s="5" t="n">
        <v>-1</v>
      </c>
      <c r="H8" s="5" t="n">
        <v>1</v>
      </c>
      <c r="I8" s="5" t="n">
        <v>-1</v>
      </c>
      <c r="J8" s="5" t="n">
        <v>-1</v>
      </c>
      <c r="K8" s="6" t="n">
        <v>-1</v>
      </c>
      <c r="L8" s="3" t="n">
        <v>279.28</v>
      </c>
      <c r="M8" s="1"/>
      <c r="N8" s="1"/>
      <c r="O8" s="1"/>
      <c r="P8" s="1"/>
    </row>
    <row r="9" customFormat="false" ht="15.75" hidden="false" customHeight="false" outlineLevel="0" collapsed="false">
      <c r="A9" s="9" t="n">
        <v>8</v>
      </c>
      <c r="B9" s="9" t="n">
        <v>100</v>
      </c>
      <c r="C9" s="9" t="s">
        <v>19</v>
      </c>
      <c r="D9" s="9" t="s">
        <v>18</v>
      </c>
      <c r="E9" s="10" t="n">
        <v>1</v>
      </c>
      <c r="F9" s="10" t="n">
        <v>1</v>
      </c>
      <c r="G9" s="10" t="n">
        <v>1</v>
      </c>
      <c r="H9" s="10" t="n">
        <v>1</v>
      </c>
      <c r="I9" s="10" t="n">
        <v>1</v>
      </c>
      <c r="J9" s="10" t="n">
        <v>1</v>
      </c>
      <c r="K9" s="11" t="n">
        <v>1</v>
      </c>
      <c r="L9" s="12" t="n">
        <v>0</v>
      </c>
      <c r="M9" s="1"/>
      <c r="N9" s="1"/>
      <c r="O9" s="1"/>
      <c r="P9" s="1"/>
    </row>
    <row r="10" customFormat="false" ht="15.75" hidden="false" customHeight="false" outlineLevel="0" collapsed="false">
      <c r="D10" s="13" t="s">
        <v>20</v>
      </c>
      <c r="E10" s="14" t="n">
        <f aca="false">SUMPRODUCT(E2:E9,L2:L9)/4</f>
        <v>61.105</v>
      </c>
      <c r="F10" s="14" t="n">
        <f aca="false">SUMPRODUCT(F2:F9,L2:L9)/4</f>
        <v>53.1</v>
      </c>
      <c r="G10" s="14" t="n">
        <f aca="false">SUMPRODUCT(G2:G9,L2:L9)/4</f>
        <v>-100.815</v>
      </c>
      <c r="H10" s="14" t="n">
        <f aca="false">SUMPRODUCT(H2:H9,L2:L9)/4</f>
        <v>64.26</v>
      </c>
      <c r="I10" s="14" t="n">
        <f aca="false">SUMPRODUCT(I2:I9,L2:L9)/4</f>
        <v>-61.105</v>
      </c>
      <c r="J10" s="14" t="n">
        <f aca="false">SUMPRODUCT(J2:J9,L2:L9)/4</f>
        <v>-53.1</v>
      </c>
      <c r="K10" s="14" t="n">
        <f aca="false">SUMPRODUCT(K2:K9,L2:L9)/4</f>
        <v>-64.26</v>
      </c>
      <c r="L10" s="15" t="n">
        <f aca="false">SUM(L2:L9)/8</f>
        <v>50.4075</v>
      </c>
      <c r="M10" s="16" t="s">
        <v>21</v>
      </c>
    </row>
    <row r="11" customFormat="false" ht="15.75" hidden="false" customHeight="false" outlineLevel="0" collapsed="false">
      <c r="D11" s="17" t="s">
        <v>22</v>
      </c>
      <c r="E11" s="18" t="n">
        <f aca="false">AVERAGEIF(E2:E9,-1,L2:L9)</f>
        <v>19.855</v>
      </c>
      <c r="F11" s="18" t="n">
        <f aca="false">AVERAGEIF(F2:F9,-1,L2:L9)</f>
        <v>23.8575</v>
      </c>
      <c r="G11" s="18" t="n">
        <f aca="false">AVERAGEIF(G2:G9,-1,L2:L9)</f>
        <v>100.815</v>
      </c>
      <c r="H11" s="18" t="n">
        <f aca="false">AVERAGEIF(H2:H9,-1,L2:L9)</f>
        <v>18.2775</v>
      </c>
      <c r="I11" s="18" t="n">
        <f aca="false">AVERAGEIF(I2:I9,-1,L2:L9)</f>
        <v>80.96</v>
      </c>
      <c r="J11" s="18" t="n">
        <f aca="false">AVERAGEIF(J2:J9,-1,L2:L9)</f>
        <v>76.9575</v>
      </c>
      <c r="K11" s="18" t="n">
        <f aca="false">AVERAGEIF(K2:K9,-1,L2:L9)</f>
        <v>82.5375</v>
      </c>
    </row>
    <row r="12" customFormat="false" ht="15.75" hidden="false" customHeight="false" outlineLevel="0" collapsed="false">
      <c r="D12" s="19" t="s">
        <v>23</v>
      </c>
      <c r="E12" s="20" t="n">
        <f aca="false">AVERAGEIF(E2:E9,1,L2:L9)</f>
        <v>80.96</v>
      </c>
      <c r="F12" s="20" t="n">
        <f aca="false">AVERAGEIF(F2:F9,1,L2:L9)</f>
        <v>76.9575</v>
      </c>
      <c r="G12" s="20" t="n">
        <f aca="false">AVERAGEIF(G2:G9,1,L2:L9)</f>
        <v>0</v>
      </c>
      <c r="H12" s="20" t="n">
        <f aca="false">AVERAGEIF(H2:H9,1,L2:L9)</f>
        <v>82.5375</v>
      </c>
      <c r="I12" s="20" t="n">
        <f aca="false">AVERAGEIF(I2:I9,1,L2:L9)</f>
        <v>19.855</v>
      </c>
      <c r="J12" s="20" t="n">
        <f aca="false">AVERAGEIF(J2:J9,1,L2:L9)</f>
        <v>23.8575</v>
      </c>
      <c r="K12" s="20" t="n">
        <f aca="false">AVERAGEIF(K2:K9,1,L2:L9)</f>
        <v>18.2775</v>
      </c>
      <c r="L12" s="14"/>
    </row>
    <row r="13" customFormat="false" ht="15.75" hidden="false" customHeight="false" outlineLevel="0" collapsed="false">
      <c r="D13" s="16" t="s">
        <v>24</v>
      </c>
      <c r="E13" s="14" t="n">
        <f aca="false">(POWER(SUMPRODUCT(E2:E9,L2:L9),2))/8</f>
        <v>7467.64205</v>
      </c>
      <c r="F13" s="14" t="n">
        <f aca="false">(POWER(SUMPRODUCT(F2:F9,L2:L9),2))/8</f>
        <v>5639.22</v>
      </c>
      <c r="G13" s="14" t="n">
        <f aca="false">(POWER(SUMPRODUCT(G2:G9,L2:L9),2))/8</f>
        <v>20327.32845</v>
      </c>
      <c r="H13" s="14" t="n">
        <f aca="false">(POWER(SUMPRODUCT(H2:H9,L2:L9),2))/8</f>
        <v>8258.6952</v>
      </c>
      <c r="I13" s="14" t="n">
        <f aca="false">(POWER(SUMPRODUCT(I2:I9,L2:L9),2))/8</f>
        <v>7467.64205</v>
      </c>
      <c r="J13" s="14" t="n">
        <f aca="false">(POWER(SUMPRODUCT(J2:J9,L2:L9),2))/8</f>
        <v>5639.22</v>
      </c>
      <c r="K13" s="14" t="n">
        <f aca="false">(POWER(SUMPRODUCT(K2:K9,L2:L9),2))/8</f>
        <v>8258.6952</v>
      </c>
      <c r="L13" s="14"/>
    </row>
    <row r="14" customFormat="false" ht="15.75" hidden="false" customHeight="false" outlineLevel="0" collapsed="false">
      <c r="D14" s="16" t="s">
        <v>25</v>
      </c>
      <c r="E14" s="21" t="n">
        <f aca="false" t="array" ref="E14:K14">SUM((L2:L9 - AVERAGE(L2:L9))^2)</f>
        <v>63058.44295</v>
      </c>
      <c r="F14" s="21" t="n">
        <v>63058.44295</v>
      </c>
      <c r="G14" s="21" t="n">
        <v>63058.44295</v>
      </c>
      <c r="H14" s="21" t="n">
        <v>63058.44295</v>
      </c>
      <c r="I14" s="21" t="n">
        <v>63058.44295</v>
      </c>
      <c r="J14" s="21" t="n">
        <v>63058.44295</v>
      </c>
      <c r="K14" s="21" t="n">
        <v>63058.44295</v>
      </c>
    </row>
    <row r="15" customFormat="false" ht="15.75" hidden="false" customHeight="false" outlineLevel="0" collapsed="false">
      <c r="D15" s="13" t="s">
        <v>26</v>
      </c>
      <c r="E15" s="22" t="n">
        <f aca="false">E13/E14</f>
        <v>0.118424142757873</v>
      </c>
      <c r="F15" s="23" t="n">
        <f aca="false">F13/F14</f>
        <v>0.0894284688328163</v>
      </c>
      <c r="G15" s="23" t="n">
        <f aca="false">G13/G14</f>
        <v>0.3223569675851</v>
      </c>
      <c r="H15" s="23" t="n">
        <f aca="false">H13/H14</f>
        <v>0.130968904616761</v>
      </c>
      <c r="I15" s="23" t="n">
        <f aca="false">I13/I14</f>
        <v>0.118424142757873</v>
      </c>
      <c r="J15" s="23" t="n">
        <f aca="false">J13/J14</f>
        <v>0.0894284688328163</v>
      </c>
      <c r="K15" s="23" t="n">
        <f aca="false">K13/K14</f>
        <v>0.130968904616761</v>
      </c>
    </row>
    <row r="16" customFormat="false" ht="15.75" hidden="false" customHeight="false" outlineLevel="0" collapsed="false">
      <c r="D16" s="13" t="s">
        <v>27</v>
      </c>
      <c r="E16" s="24" t="n">
        <f aca="false">E15</f>
        <v>0.118424142757873</v>
      </c>
      <c r="F16" s="25" t="n">
        <f aca="false">F15</f>
        <v>0.0894284688328163</v>
      </c>
      <c r="G16" s="25" t="n">
        <f aca="false">G15</f>
        <v>0.3223569675851</v>
      </c>
      <c r="H16" s="25" t="n">
        <f aca="false">H15</f>
        <v>0.130968904616761</v>
      </c>
      <c r="I16" s="25" t="n">
        <f aca="false">I15</f>
        <v>0.118424142757873</v>
      </c>
      <c r="J16" s="25" t="n">
        <f aca="false">J15</f>
        <v>0.0894284688328163</v>
      </c>
      <c r="K16" s="25" t="n">
        <f aca="false">K15</f>
        <v>0.130968904616761</v>
      </c>
    </row>
    <row r="18" customFormat="false" ht="15.75" hidden="false" customHeight="false" outlineLevel="0" collapsed="false">
      <c r="E18" s="26" t="n">
        <f aca="false">DEVSQ(L2:L9)</f>
        <v>63058.44295</v>
      </c>
    </row>
    <row r="19" customFormat="false" ht="15.75" hidden="false" customHeight="false" outlineLevel="0" collapsed="false">
      <c r="A19" s="27" t="s">
        <v>28</v>
      </c>
      <c r="B19" s="28"/>
      <c r="C19" s="28"/>
      <c r="D19" s="28"/>
    </row>
    <row r="20" customFormat="false" ht="15.75" hidden="false" customHeight="false" outlineLevel="0" collapsed="false">
      <c r="A20" s="27" t="s">
        <v>29</v>
      </c>
      <c r="B20" s="28"/>
      <c r="C20" s="27" t="s">
        <v>30</v>
      </c>
      <c r="D20" s="28"/>
    </row>
    <row r="21" customFormat="false" ht="15.75" hidden="false" customHeight="false" outlineLevel="0" collapsed="false">
      <c r="A21" s="27" t="s">
        <v>31</v>
      </c>
      <c r="B21" s="28"/>
      <c r="C21" s="28"/>
      <c r="D21" s="28"/>
    </row>
    <row r="22" customFormat="false" ht="15.75" hidden="false" customHeight="false" outlineLevel="0" collapsed="false">
      <c r="A22" s="27"/>
      <c r="B22" s="28"/>
      <c r="C22" s="28"/>
      <c r="D22" s="28"/>
    </row>
    <row r="23" customFormat="false" ht="15.75" hidden="false" customHeight="false" outlineLevel="0" collapsed="false">
      <c r="A23" s="27" t="s">
        <v>32</v>
      </c>
      <c r="B23" s="28"/>
      <c r="C23" s="28"/>
      <c r="D23" s="28"/>
    </row>
    <row r="24" customFormat="false" ht="15.75" hidden="false" customHeight="false" outlineLevel="0" collapsed="false">
      <c r="A24" s="27" t="s">
        <v>33</v>
      </c>
      <c r="B24" s="28"/>
      <c r="C24" s="28"/>
      <c r="D24" s="2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0.01"/>
    <col collapsed="false" customWidth="true" hidden="false" outlineLevel="0" max="3" min="3" style="0" width="14.38"/>
    <col collapsed="false" customWidth="true" hidden="false" outlineLevel="0" max="4" min="4" style="0" width="20.58"/>
    <col collapsed="false" customWidth="true" hidden="false" outlineLevel="0" max="5" min="5" style="0" width="8"/>
    <col collapsed="false" customWidth="true" hidden="false" outlineLevel="0" max="6" min="6" style="0" width="10.71"/>
    <col collapsed="false" customWidth="true" hidden="false" outlineLevel="0" max="7" min="7" style="0" width="11.54"/>
    <col collapsed="false" customWidth="true" hidden="false" outlineLevel="0" max="8" min="8" style="0" width="8.5"/>
    <col collapsed="false" customWidth="true" hidden="false" outlineLevel="0" max="9" min="9" style="0" width="8.38"/>
    <col collapsed="false" customWidth="true" hidden="false" outlineLevel="0" max="10" min="10" style="0" width="8.13"/>
    <col collapsed="false" customWidth="true" hidden="false" outlineLevel="0" max="11" min="11" style="0" width="10.43"/>
    <col collapsed="false" customWidth="true" hidden="false" outlineLevel="0" max="12" min="12" style="0" width="12.38"/>
    <col collapsed="false" customWidth="true" hidden="false" outlineLevel="0" max="13" min="13" style="0" width="10.38"/>
    <col collapsed="false" customWidth="true" hidden="false" outlineLevel="0" max="14" min="14" style="0" width="9.75"/>
    <col collapsed="false" customWidth="true" hidden="false" outlineLevel="0" max="15" min="15" style="0" width="10.25"/>
    <col collapsed="false" customWidth="true" hidden="false" outlineLevel="0" max="16" min="16" style="0" width="10.13"/>
    <col collapsed="false" customWidth="true" hidden="false" outlineLevel="0" max="17" min="17" style="0" width="11.63"/>
    <col collapsed="false" customWidth="true" hidden="false" outlineLevel="0" max="18" min="18" style="0" width="11.89"/>
  </cols>
  <sheetData>
    <row r="1" customFormat="false" ht="12.8" hidden="false" customHeight="false" outlineLevel="0" collapsed="false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10</v>
      </c>
      <c r="L1" s="31" t="s">
        <v>11</v>
      </c>
      <c r="M1" s="32" t="s">
        <v>12</v>
      </c>
      <c r="N1" s="32" t="s">
        <v>13</v>
      </c>
      <c r="O1" s="32" t="s">
        <v>14</v>
      </c>
      <c r="P1" s="32" t="s">
        <v>15</v>
      </c>
    </row>
    <row r="2" customFormat="false" ht="12.8" hidden="false" customHeight="false" outlineLevel="0" collapsed="false">
      <c r="A2" s="29" t="n">
        <v>1</v>
      </c>
      <c r="B2" s="29" t="n">
        <v>50</v>
      </c>
      <c r="C2" s="29" t="s">
        <v>16</v>
      </c>
      <c r="D2" s="29" t="s">
        <v>17</v>
      </c>
      <c r="E2" s="33" t="n">
        <v>-1</v>
      </c>
      <c r="F2" s="33" t="n">
        <v>-1</v>
      </c>
      <c r="G2" s="33" t="n">
        <v>-1</v>
      </c>
      <c r="H2" s="33" t="n">
        <v>1</v>
      </c>
      <c r="I2" s="33" t="n">
        <v>1</v>
      </c>
      <c r="J2" s="33" t="n">
        <v>1</v>
      </c>
      <c r="K2" s="34" t="n">
        <v>-1</v>
      </c>
      <c r="L2" s="35" t="n">
        <v>29.44</v>
      </c>
      <c r="M2" s="29"/>
      <c r="N2" s="29" t="s">
        <v>34</v>
      </c>
      <c r="O2" s="29" t="s">
        <v>34</v>
      </c>
      <c r="P2" s="36" t="s">
        <v>34</v>
      </c>
    </row>
    <row r="3" customFormat="false" ht="12.8" hidden="false" customHeight="false" outlineLevel="0" collapsed="false">
      <c r="A3" s="29" t="n">
        <v>2</v>
      </c>
      <c r="B3" s="29" t="n">
        <v>50</v>
      </c>
      <c r="C3" s="29" t="s">
        <v>16</v>
      </c>
      <c r="D3" s="29" t="s">
        <v>18</v>
      </c>
      <c r="E3" s="33" t="n">
        <v>-1</v>
      </c>
      <c r="F3" s="33" t="n">
        <v>-1</v>
      </c>
      <c r="G3" s="33" t="n">
        <v>1</v>
      </c>
      <c r="H3" s="33" t="n">
        <v>1</v>
      </c>
      <c r="I3" s="33" t="n">
        <v>-1</v>
      </c>
      <c r="J3" s="33" t="n">
        <v>-1</v>
      </c>
      <c r="K3" s="34" t="n">
        <v>1</v>
      </c>
      <c r="L3" s="31" t="n">
        <v>0</v>
      </c>
      <c r="M3" s="29"/>
      <c r="N3" s="29" t="s">
        <v>34</v>
      </c>
      <c r="O3" s="29" t="s">
        <v>34</v>
      </c>
      <c r="P3" s="36" t="s">
        <v>34</v>
      </c>
    </row>
    <row r="4" customFormat="false" ht="12.8" hidden="false" customHeight="false" outlineLevel="0" collapsed="false">
      <c r="A4" s="29" t="n">
        <v>3</v>
      </c>
      <c r="B4" s="29" t="n">
        <v>50</v>
      </c>
      <c r="C4" s="29" t="s">
        <v>19</v>
      </c>
      <c r="D4" s="29" t="s">
        <v>17</v>
      </c>
      <c r="E4" s="33" t="n">
        <v>-1</v>
      </c>
      <c r="F4" s="33" t="n">
        <v>1</v>
      </c>
      <c r="G4" s="33" t="n">
        <v>-1</v>
      </c>
      <c r="H4" s="33" t="n">
        <v>-1</v>
      </c>
      <c r="I4" s="33" t="n">
        <v>1</v>
      </c>
      <c r="J4" s="33" t="n">
        <v>-1</v>
      </c>
      <c r="K4" s="34" t="n">
        <v>1</v>
      </c>
      <c r="L4" s="31" t="n">
        <v>31.18</v>
      </c>
      <c r="M4" s="29"/>
      <c r="N4" s="29" t="s">
        <v>34</v>
      </c>
      <c r="O4" s="29" t="s">
        <v>34</v>
      </c>
      <c r="P4" s="36" t="s">
        <v>34</v>
      </c>
    </row>
    <row r="5" customFormat="false" ht="12.8" hidden="false" customHeight="false" outlineLevel="0" collapsed="false">
      <c r="A5" s="29" t="n">
        <v>4</v>
      </c>
      <c r="B5" s="29" t="n">
        <v>50</v>
      </c>
      <c r="C5" s="29" t="s">
        <v>19</v>
      </c>
      <c r="D5" s="29" t="s">
        <v>18</v>
      </c>
      <c r="E5" s="33" t="n">
        <v>-1</v>
      </c>
      <c r="F5" s="33" t="n">
        <v>1</v>
      </c>
      <c r="G5" s="33" t="n">
        <v>1</v>
      </c>
      <c r="H5" s="33" t="n">
        <v>-1</v>
      </c>
      <c r="I5" s="33" t="n">
        <v>-1</v>
      </c>
      <c r="J5" s="33" t="n">
        <v>1</v>
      </c>
      <c r="K5" s="34" t="n">
        <v>-1</v>
      </c>
      <c r="L5" s="31" t="n">
        <v>0</v>
      </c>
      <c r="M5" s="29"/>
      <c r="N5" s="29" t="s">
        <v>34</v>
      </c>
      <c r="O5" s="29" t="s">
        <v>34</v>
      </c>
      <c r="P5" s="36" t="s">
        <v>34</v>
      </c>
    </row>
    <row r="6" customFormat="false" ht="12.8" hidden="false" customHeight="false" outlineLevel="0" collapsed="false">
      <c r="A6" s="29" t="n">
        <v>5</v>
      </c>
      <c r="B6" s="29" t="n">
        <v>100</v>
      </c>
      <c r="C6" s="29" t="s">
        <v>16</v>
      </c>
      <c r="D6" s="29" t="s">
        <v>17</v>
      </c>
      <c r="E6" s="33" t="n">
        <v>1</v>
      </c>
      <c r="F6" s="33" t="n">
        <v>-1</v>
      </c>
      <c r="G6" s="33" t="n">
        <v>-1</v>
      </c>
      <c r="H6" s="33" t="n">
        <v>-1</v>
      </c>
      <c r="I6" s="33" t="n">
        <v>-1</v>
      </c>
      <c r="J6" s="33" t="n">
        <v>1</v>
      </c>
      <c r="K6" s="34" t="n">
        <v>1</v>
      </c>
      <c r="L6" s="31" t="n">
        <v>62.54</v>
      </c>
      <c r="M6" s="29"/>
      <c r="N6" s="29" t="s">
        <v>34</v>
      </c>
      <c r="O6" s="29" t="s">
        <v>34</v>
      </c>
      <c r="P6" s="36" t="s">
        <v>34</v>
      </c>
    </row>
    <row r="7" customFormat="false" ht="12.8" hidden="false" customHeight="false" outlineLevel="0" collapsed="false">
      <c r="A7" s="29" t="n">
        <v>6</v>
      </c>
      <c r="B7" s="29" t="n">
        <v>100</v>
      </c>
      <c r="C7" s="29" t="s">
        <v>16</v>
      </c>
      <c r="D7" s="29" t="s">
        <v>18</v>
      </c>
      <c r="E7" s="33" t="n">
        <v>1</v>
      </c>
      <c r="F7" s="33" t="n">
        <v>-1</v>
      </c>
      <c r="G7" s="33" t="n">
        <v>1</v>
      </c>
      <c r="H7" s="33" t="n">
        <v>-1</v>
      </c>
      <c r="I7" s="33" t="n">
        <v>1</v>
      </c>
      <c r="J7" s="33" t="n">
        <v>-1</v>
      </c>
      <c r="K7" s="34" t="n">
        <v>-1</v>
      </c>
      <c r="L7" s="31" t="n">
        <v>0</v>
      </c>
      <c r="M7" s="29"/>
      <c r="N7" s="29" t="s">
        <v>34</v>
      </c>
      <c r="O7" s="29" t="s">
        <v>34</v>
      </c>
      <c r="P7" s="36" t="s">
        <v>34</v>
      </c>
    </row>
    <row r="8" customFormat="false" ht="12.8" hidden="false" customHeight="false" outlineLevel="0" collapsed="false">
      <c r="A8" s="29" t="n">
        <v>7</v>
      </c>
      <c r="B8" s="29" t="n">
        <v>100</v>
      </c>
      <c r="C8" s="29" t="s">
        <v>19</v>
      </c>
      <c r="D8" s="29" t="s">
        <v>17</v>
      </c>
      <c r="E8" s="33" t="n">
        <v>1</v>
      </c>
      <c r="F8" s="33" t="n">
        <v>1</v>
      </c>
      <c r="G8" s="33" t="n">
        <v>-1</v>
      </c>
      <c r="H8" s="33" t="n">
        <v>1</v>
      </c>
      <c r="I8" s="33" t="n">
        <v>-1</v>
      </c>
      <c r="J8" s="33" t="n">
        <v>-1</v>
      </c>
      <c r="K8" s="34" t="n">
        <v>-1</v>
      </c>
      <c r="L8" s="31" t="n">
        <v>198.71</v>
      </c>
      <c r="M8" s="29"/>
      <c r="N8" s="29" t="s">
        <v>34</v>
      </c>
      <c r="O8" s="29" t="s">
        <v>34</v>
      </c>
      <c r="P8" s="36" t="s">
        <v>34</v>
      </c>
    </row>
    <row r="9" customFormat="false" ht="12.8" hidden="false" customHeight="false" outlineLevel="0" collapsed="false">
      <c r="A9" s="37" t="n">
        <v>8</v>
      </c>
      <c r="B9" s="37" t="n">
        <v>100</v>
      </c>
      <c r="C9" s="37" t="s">
        <v>19</v>
      </c>
      <c r="D9" s="37" t="s">
        <v>18</v>
      </c>
      <c r="E9" s="38" t="n">
        <v>1</v>
      </c>
      <c r="F9" s="38" t="n">
        <v>1</v>
      </c>
      <c r="G9" s="38" t="n">
        <v>1</v>
      </c>
      <c r="H9" s="38" t="n">
        <v>1</v>
      </c>
      <c r="I9" s="38" t="n">
        <v>1</v>
      </c>
      <c r="J9" s="38" t="n">
        <v>1</v>
      </c>
      <c r="K9" s="39" t="n">
        <v>1</v>
      </c>
      <c r="L9" s="40" t="n">
        <v>0</v>
      </c>
      <c r="M9" s="29"/>
      <c r="N9" s="29" t="s">
        <v>34</v>
      </c>
      <c r="O9" s="29" t="s">
        <v>34</v>
      </c>
      <c r="P9" s="36" t="s">
        <v>34</v>
      </c>
    </row>
    <row r="10" customFormat="false" ht="12.8" hidden="false" customHeight="false" outlineLevel="0" collapsed="false">
      <c r="A10" s="41"/>
      <c r="B10" s="41"/>
      <c r="C10" s="41"/>
      <c r="D10" s="31" t="s">
        <v>20</v>
      </c>
      <c r="E10" s="42" t="n">
        <f aca="false">SUMPRODUCT(E2:E9,L2:L9)/4</f>
        <v>50.1575</v>
      </c>
      <c r="F10" s="42" t="n">
        <f aca="false">SUMPRODUCT(F2:F9,L2:L9)/4</f>
        <v>34.4775</v>
      </c>
      <c r="G10" s="42" t="n">
        <f aca="false">SUMPRODUCT(G2:G9,L2:L9)/4</f>
        <v>-80.4675</v>
      </c>
      <c r="H10" s="42" t="n">
        <f aca="false">SUMPRODUCT(H2:H9,L2:L9)/4</f>
        <v>33.6075</v>
      </c>
      <c r="I10" s="42" t="n">
        <f aca="false">SUMPRODUCT(I2:I9,L2:L9)/4</f>
        <v>-50.1575</v>
      </c>
      <c r="J10" s="42" t="n">
        <f aca="false">SUMPRODUCT(J2:J9,L2:L9)/4</f>
        <v>-34.4775</v>
      </c>
      <c r="K10" s="42" t="n">
        <f aca="false">SUMPRODUCT(K2:K9,L2:L9)/4</f>
        <v>-33.6075</v>
      </c>
      <c r="L10" s="43" t="n">
        <f aca="false">SUM(L2:L9)/8</f>
        <v>40.23375</v>
      </c>
      <c r="M10" s="29" t="s">
        <v>21</v>
      </c>
      <c r="N10" s="41"/>
      <c r="O10" s="41"/>
      <c r="P10" s="41"/>
    </row>
    <row r="11" customFormat="false" ht="12.8" hidden="false" customHeight="false" outlineLevel="0" collapsed="false">
      <c r="A11" s="41"/>
      <c r="B11" s="41"/>
      <c r="C11" s="41"/>
      <c r="D11" s="32" t="s">
        <v>22</v>
      </c>
      <c r="E11" s="44" t="n">
        <f aca="false">AVERAGEIF(E2:E9,-1,L2:L9)</f>
        <v>15.155</v>
      </c>
      <c r="F11" s="44" t="n">
        <f aca="false">AVERAGEIF(F2:F9,-1,L2:L9)</f>
        <v>22.995</v>
      </c>
      <c r="G11" s="44" t="n">
        <f aca="false">AVERAGEIF(G2:G9,-1,L2:L9)</f>
        <v>80.4675</v>
      </c>
      <c r="H11" s="44" t="n">
        <f aca="false">AVERAGEIF(H2:H9,-1,L2:L9)</f>
        <v>23.43</v>
      </c>
      <c r="I11" s="44" t="n">
        <f aca="false">AVERAGEIF(I2:I9,-1,L2:L9)</f>
        <v>65.3125</v>
      </c>
      <c r="J11" s="44" t="n">
        <f aca="false">AVERAGEIF(J2:J9,-1,L2:L9)</f>
        <v>57.4725</v>
      </c>
      <c r="K11" s="44" t="n">
        <f aca="false">AVERAGEIF(K2:K9,-1,L2:L9)</f>
        <v>57.0375</v>
      </c>
      <c r="L11" s="41"/>
      <c r="M11" s="41"/>
      <c r="N11" s="41"/>
      <c r="O11" s="41"/>
      <c r="P11" s="41"/>
    </row>
    <row r="12" customFormat="false" ht="12.8" hidden="false" customHeight="false" outlineLevel="0" collapsed="false">
      <c r="A12" s="41"/>
      <c r="B12" s="41"/>
      <c r="C12" s="41"/>
      <c r="D12" s="45" t="s">
        <v>23</v>
      </c>
      <c r="E12" s="46" t="n">
        <f aca="false">AVERAGEIF(E2:E9,1,L2:L9)</f>
        <v>65.3125</v>
      </c>
      <c r="F12" s="46" t="n">
        <f aca="false">AVERAGEIF(F2:F9,1,L2:L9)</f>
        <v>57.4725</v>
      </c>
      <c r="G12" s="46" t="n">
        <f aca="false">AVERAGEIF(G2:G9,1,L2:L9)</f>
        <v>0</v>
      </c>
      <c r="H12" s="46" t="n">
        <f aca="false">AVERAGEIF(H2:H9,1,L2:L9)</f>
        <v>57.0375</v>
      </c>
      <c r="I12" s="46" t="n">
        <f aca="false">AVERAGEIF(I2:I9,1,L2:L9)</f>
        <v>15.155</v>
      </c>
      <c r="J12" s="46" t="n">
        <f aca="false">AVERAGEIF(J2:J9,1,L2:L9)</f>
        <v>22.995</v>
      </c>
      <c r="K12" s="46" t="n">
        <f aca="false">AVERAGEIF(K2:K9,1,L2:L9)</f>
        <v>23.43</v>
      </c>
      <c r="L12" s="42"/>
      <c r="M12" s="41"/>
      <c r="N12" s="41"/>
      <c r="O12" s="41"/>
      <c r="P12" s="41"/>
    </row>
    <row r="13" customFormat="false" ht="12.8" hidden="false" customHeight="false" outlineLevel="0" collapsed="false">
      <c r="A13" s="41"/>
      <c r="B13" s="41"/>
      <c r="C13" s="41"/>
      <c r="D13" s="29" t="s">
        <v>24</v>
      </c>
      <c r="E13" s="42" t="n">
        <f aca="false">(POWER(SUMPRODUCT(E2:E9,L2:L9),2))/8</f>
        <v>5031.5496125</v>
      </c>
      <c r="F13" s="42" t="n">
        <f aca="false">(POWER(SUMPRODUCT(F2:F9,L2:L9),2))/8</f>
        <v>2377.3960125</v>
      </c>
      <c r="G13" s="42" t="n">
        <f aca="false">(POWER(SUMPRODUCT(G2:G9,L2:L9),2))/8</f>
        <v>12950.0371125</v>
      </c>
      <c r="H13" s="42" t="n">
        <f aca="false">(POWER(SUMPRODUCT(H2:H9,L2:L9),2))/8</f>
        <v>2258.9281125</v>
      </c>
      <c r="I13" s="42" t="n">
        <f aca="false">(POWER(SUMPRODUCT(I2:I9,L2:L9),2))/8</f>
        <v>5031.5496125</v>
      </c>
      <c r="J13" s="42" t="n">
        <f aca="false">(POWER(SUMPRODUCT(J2:J9,L2:L9),2))/8</f>
        <v>2377.3960125</v>
      </c>
      <c r="K13" s="42" t="n">
        <f aca="false">(POWER(SUMPRODUCT(K2:K9,L2:L9),2))/8</f>
        <v>2258.9281125</v>
      </c>
      <c r="L13" s="42"/>
      <c r="M13" s="41"/>
      <c r="N13" s="41"/>
      <c r="O13" s="41"/>
      <c r="P13" s="41"/>
    </row>
    <row r="14" customFormat="false" ht="12.8" hidden="false" customHeight="false" outlineLevel="0" collapsed="false">
      <c r="A14" s="41"/>
      <c r="B14" s="41"/>
      <c r="C14" s="41"/>
      <c r="D14" s="29" t="s">
        <v>25</v>
      </c>
      <c r="E14" s="47" t="n">
        <f aca="false" t="array" ref="E14:K14">SUM((L2:L9 - AVERAGE(L2:L9))^2)</f>
        <v>32285.7845875</v>
      </c>
      <c r="F14" s="47" t="n">
        <v>32285.7845875</v>
      </c>
      <c r="G14" s="47" t="n">
        <v>32285.7845875</v>
      </c>
      <c r="H14" s="47" t="n">
        <v>32285.7845875</v>
      </c>
      <c r="I14" s="47" t="n">
        <v>32285.7845875</v>
      </c>
      <c r="J14" s="47" t="n">
        <v>32285.7845875</v>
      </c>
      <c r="K14" s="47" t="n">
        <v>32285.7845875</v>
      </c>
      <c r="L14" s="41"/>
      <c r="M14" s="41"/>
      <c r="N14" s="41"/>
      <c r="O14" s="41"/>
      <c r="P14" s="41"/>
    </row>
    <row r="15" customFormat="false" ht="12.8" hidden="false" customHeight="false" outlineLevel="0" collapsed="false">
      <c r="A15" s="41"/>
      <c r="B15" s="41"/>
      <c r="C15" s="41"/>
      <c r="D15" s="31" t="s">
        <v>26</v>
      </c>
      <c r="E15" s="48" t="n">
        <f aca="false">E13/E14</f>
        <v>0.155844117675494</v>
      </c>
      <c r="F15" s="49" t="n">
        <f aca="false">F13/F14</f>
        <v>0.0736359993376295</v>
      </c>
      <c r="G15" s="49" t="n">
        <f aca="false">G13/G14</f>
        <v>0.401106470787575</v>
      </c>
      <c r="H15" s="49" t="n">
        <f aca="false">H13/H14</f>
        <v>0.0699666475930891</v>
      </c>
      <c r="I15" s="49" t="n">
        <f aca="false">I13/I14</f>
        <v>0.155844117675494</v>
      </c>
      <c r="J15" s="49" t="n">
        <f aca="false">J13/J14</f>
        <v>0.0736359993376295</v>
      </c>
      <c r="K15" s="49" t="n">
        <f aca="false">K13/K14</f>
        <v>0.0699666475930891</v>
      </c>
      <c r="L15" s="41"/>
      <c r="M15" s="41"/>
      <c r="N15" s="41"/>
      <c r="O15" s="41"/>
      <c r="P15" s="41"/>
    </row>
    <row r="16" customFormat="false" ht="12.8" hidden="false" customHeight="false" outlineLevel="0" collapsed="false">
      <c r="A16" s="41"/>
      <c r="B16" s="41"/>
      <c r="C16" s="41"/>
      <c r="D16" s="31" t="s">
        <v>27</v>
      </c>
      <c r="E16" s="50" t="n">
        <f aca="false">E15</f>
        <v>0.155844117675494</v>
      </c>
      <c r="F16" s="36" t="n">
        <f aca="false">F15</f>
        <v>0.0736359993376295</v>
      </c>
      <c r="G16" s="36" t="n">
        <f aca="false">G15</f>
        <v>0.401106470787575</v>
      </c>
      <c r="H16" s="36" t="n">
        <f aca="false">H15</f>
        <v>0.0699666475930891</v>
      </c>
      <c r="I16" s="36" t="n">
        <f aca="false">I15</f>
        <v>0.155844117675494</v>
      </c>
      <c r="J16" s="36" t="n">
        <f aca="false">J15</f>
        <v>0.0736359993376295</v>
      </c>
      <c r="K16" s="36" t="n">
        <f aca="false">K15</f>
        <v>0.0699666475930891</v>
      </c>
      <c r="L16" s="41"/>
      <c r="M16" s="41"/>
      <c r="N16" s="41"/>
      <c r="O16" s="41"/>
      <c r="P16" s="41"/>
    </row>
    <row r="18" customFormat="false" ht="15.75" hidden="false" customHeight="false" outlineLevel="0" collapsed="false">
      <c r="E18" s="26" t="n">
        <f aca="false">DEVSQ(L2:L9)</f>
        <v>32285.7845875</v>
      </c>
    </row>
    <row r="19" customFormat="false" ht="15.75" hidden="false" customHeight="false" outlineLevel="0" collapsed="false">
      <c r="A19" s="27" t="s">
        <v>28</v>
      </c>
      <c r="B19" s="28"/>
      <c r="C19" s="28"/>
      <c r="D19" s="28"/>
    </row>
    <row r="20" customFormat="false" ht="15.75" hidden="false" customHeight="false" outlineLevel="0" collapsed="false">
      <c r="A20" s="27" t="s">
        <v>29</v>
      </c>
      <c r="B20" s="28"/>
      <c r="C20" s="27" t="s">
        <v>30</v>
      </c>
      <c r="D20" s="28"/>
    </row>
    <row r="21" customFormat="false" ht="15.75" hidden="false" customHeight="false" outlineLevel="0" collapsed="false">
      <c r="A21" s="27" t="s">
        <v>31</v>
      </c>
      <c r="B21" s="28"/>
      <c r="C21" s="28"/>
      <c r="D21" s="28"/>
    </row>
    <row r="22" customFormat="false" ht="15.75" hidden="false" customHeight="false" outlineLevel="0" collapsed="false">
      <c r="A22" s="27"/>
      <c r="B22" s="28"/>
      <c r="C22" s="28"/>
      <c r="D22" s="28"/>
    </row>
    <row r="23" customFormat="false" ht="15.75" hidden="false" customHeight="false" outlineLevel="0" collapsed="false">
      <c r="A23" s="27" t="s">
        <v>32</v>
      </c>
      <c r="B23" s="28"/>
      <c r="C23" s="28"/>
      <c r="D23" s="28"/>
    </row>
    <row r="24" customFormat="false" ht="15.75" hidden="false" customHeight="false" outlineLevel="0" collapsed="false">
      <c r="A24" s="27" t="s">
        <v>33</v>
      </c>
      <c r="B24" s="28"/>
      <c r="C24" s="28"/>
      <c r="D24" s="2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2025-11-29T23:49:41Z</dcterms:modified>
  <cp:revision>3</cp:revision>
  <dc:subject/>
  <dc:title/>
</cp:coreProperties>
</file>